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行车 记录表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1">
    <font>
      <name val="等线"/>
      <charset val="134"/>
      <color theme="1"/>
      <sz val="12"/>
      <scheme val="minor"/>
    </font>
    <font>
      <name val="宋体"/>
      <charset val="134"/>
      <color rgb="FF000000"/>
      <sz val="11"/>
    </font>
    <font>
      <name val="宋体"/>
      <charset val="134"/>
      <b val="1"/>
      <color rgb="FF000000"/>
      <sz val="14"/>
    </font>
    <font>
      <name val="宋体"/>
      <charset val="134"/>
      <b val="1"/>
      <color rgb="FF000000"/>
      <sz val="11"/>
    </font>
    <font>
      <name val="宋体"/>
      <charset val="134"/>
      <b val="1"/>
      <color rgb="FF000000"/>
      <sz val="12"/>
    </font>
    <font>
      <name val="宋体"/>
      <charset val="134"/>
      <color rgb="FF000000"/>
      <sz val="12"/>
    </font>
    <font>
      <name val="宋体"/>
      <charset val="134"/>
      <b val="1"/>
      <color rgb="FF000000"/>
      <sz val="12"/>
      <u val="single"/>
    </font>
    <font>
      <name val="宋体"/>
      <charset val="134"/>
      <color rgb="FF000000"/>
      <sz val="10"/>
    </font>
    <font>
      <name val="宋体"/>
      <charset val="134"/>
      <b val="1"/>
      <color rgb="FF000000"/>
      <sz val="11"/>
      <u val="single"/>
    </font>
    <font>
      <name val="宋体"/>
      <charset val="134"/>
      <family val="3"/>
      <b val="1"/>
      <color rgb="FF000000"/>
      <sz val="24"/>
    </font>
    <font>
      <name val="宋体"/>
      <charset val="134"/>
      <family val="3"/>
      <b val="1"/>
      <color rgb="FF000000"/>
      <sz val="11"/>
    </font>
    <font>
      <name val="等线"/>
      <charset val="134"/>
      <family val="3"/>
      <sz val="9"/>
      <scheme val="minor"/>
    </font>
    <font>
      <name val="宋体"/>
      <charset val="134"/>
      <color rgb="FF000000"/>
      <sz val="12"/>
    </font>
    <font>
      <name val="宋体"/>
      <charset val="134"/>
      <b val="1"/>
      <color rgb="FF000000"/>
      <sz val="12"/>
    </font>
    <font>
      <name val="宋体"/>
      <charset val="134"/>
      <b val="1"/>
      <color rgb="FF000000"/>
      <sz val="11"/>
    </font>
    <font>
      <name val="宋体"/>
      <charset val="134"/>
      <family val="3"/>
      <color theme="1"/>
      <sz val="12"/>
    </font>
    <font>
      <name val="宋体"/>
      <charset val="134"/>
      <b val="1"/>
      <sz val="11"/>
    </font>
    <font>
      <name val="宋体"/>
      <charset val="134"/>
      <sz val="11"/>
    </font>
    <font>
      <name val="宋体"/>
      <charset val="134"/>
      <family val="3"/>
      <b val="1"/>
      <sz val="11"/>
    </font>
    <font>
      <name val="宋体"/>
      <b val="1"/>
      <sz val="11"/>
    </font>
    <font>
      <name val="宋体"/>
      <sz val="11"/>
    </font>
  </fonts>
  <fills count="4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 applyAlignment="1">
      <alignment vertical="center"/>
    </xf>
  </cellStyleXfs>
  <cellXfs count="51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14" fontId="5" fillId="0" borderId="1" applyAlignment="1" pivotButton="0" quotePrefix="0" xfId="0">
      <alignment horizontal="center" vertical="center"/>
    </xf>
    <xf numFmtId="1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/>
    </xf>
    <xf numFmtId="0" fontId="7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4" fontId="12" fillId="0" borderId="5" applyAlignment="1" pivotButton="0" quotePrefix="0" xfId="0">
      <alignment horizontal="center" vertical="center"/>
    </xf>
    <xf numFmtId="14" fontId="12" fillId="0" borderId="5" applyAlignment="1" pivotButton="0" quotePrefix="0" xfId="0">
      <alignment horizontal="center" vertical="center" wrapText="1"/>
    </xf>
    <xf numFmtId="0" fontId="12" fillId="0" borderId="5" applyAlignment="1" pivotButton="0" quotePrefix="0" xfId="0">
      <alignment horizontal="center" vertical="center" wrapText="1"/>
    </xf>
    <xf numFmtId="0" fontId="13" fillId="0" borderId="5" applyAlignment="1" pivotButton="0" quotePrefix="0" xfId="0">
      <alignment horizontal="center" vertical="center"/>
    </xf>
    <xf numFmtId="0" fontId="14" fillId="0" borderId="5" applyAlignment="1" pivotButton="0" quotePrefix="0" xfId="0">
      <alignment horizontal="center" vertical="center"/>
    </xf>
    <xf numFmtId="0" fontId="15" fillId="0" borderId="5" applyAlignment="1" pivotButton="0" quotePrefix="0" xfId="0">
      <alignment horizontal="center" vertical="center"/>
    </xf>
    <xf numFmtId="0" fontId="0" fillId="0" borderId="0" pivotButton="0" quotePrefix="0" xfId="0"/>
    <xf numFmtId="0" fontId="16" fillId="2" borderId="6" applyAlignment="1" pivotButton="0" quotePrefix="0" xfId="0">
      <alignment horizontal="center" vertical="center"/>
    </xf>
    <xf numFmtId="0" fontId="17" fillId="0" borderId="6" applyAlignment="1" pivotButton="0" quotePrefix="0" xfId="0">
      <alignment horizontal="center" vertical="center"/>
    </xf>
    <xf numFmtId="3" fontId="17" fillId="0" borderId="6" applyAlignment="1" pivotButton="0" quotePrefix="0" xfId="0">
      <alignment horizontal="center" vertical="center"/>
    </xf>
    <xf numFmtId="0" fontId="17" fillId="0" borderId="6" applyAlignment="1" pivotButton="0" quotePrefix="0" xfId="0">
      <alignment horizontal="left" vertical="center"/>
    </xf>
    <xf numFmtId="164" fontId="17" fillId="0" borderId="6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4" fillId="0" borderId="5" applyAlignment="1" pivotButton="0" quotePrefix="0" xfId="0">
      <alignment horizontal="center" vertical="center"/>
    </xf>
    <xf numFmtId="0" fontId="0" fillId="0" borderId="4" pivotButton="0" quotePrefix="0" xfId="0"/>
    <xf numFmtId="0" fontId="3" fillId="0" borderId="5" applyAlignment="1" pivotButton="0" quotePrefix="0" xfId="0">
      <alignment horizontal="center" vertical="center"/>
    </xf>
    <xf numFmtId="0" fontId="9" fillId="0" borderId="5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0" fillId="0" borderId="5" applyAlignment="1" pivotButton="0" quotePrefix="0" xfId="0">
      <alignment horizontal="center" vertical="center"/>
    </xf>
    <xf numFmtId="0" fontId="18" fillId="2" borderId="6" applyAlignment="1" pivotButton="0" quotePrefix="0" xfId="0">
      <alignment horizontal="center" vertical="center"/>
    </xf>
    <xf numFmtId="0" fontId="19" fillId="3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3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left" vertical="center"/>
    </xf>
    <xf numFmtId="164" fontId="20" fillId="0" borderId="11" applyAlignment="1" pivotButton="0" quotePrefix="0" xfId="0">
      <alignment horizontal="left" vertical="center"/>
    </xf>
    <xf numFmtId="165" fontId="20" fillId="0" borderId="11" applyAlignment="1" pivotButton="0" quotePrefix="0" xfId="0">
      <alignment horizontal="center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Relationship Type="http://schemas.openxmlformats.org/officeDocument/2006/relationships/image" Target="/xl/media/image9.jpeg" Id="rId9"/><Relationship Type="http://schemas.openxmlformats.org/officeDocument/2006/relationships/image" Target="/xl/media/image10.jpeg" Id="rId10"/><Relationship Type="http://schemas.openxmlformats.org/officeDocument/2006/relationships/image" Target="/xl/media/image11.jpeg" Id="rId11"/><Relationship Type="http://schemas.openxmlformats.org/officeDocument/2006/relationships/image" Target="/xl/media/image12.jpeg" Id="rId12"/><Relationship Type="http://schemas.openxmlformats.org/officeDocument/2006/relationships/image" Target="/xl/media/image13.jpeg" Id="rId13"/><Relationship Type="http://schemas.openxmlformats.org/officeDocument/2006/relationships/image" Target="/xl/media/image14.jpeg" Id="rId14"/><Relationship Type="http://schemas.openxmlformats.org/officeDocument/2006/relationships/image" Target="/xl/media/image15.jpeg" Id="rId15"/><Relationship Type="http://schemas.openxmlformats.org/officeDocument/2006/relationships/image" Target="/xl/media/image16.jpeg" Id="rId16"/><Relationship Type="http://schemas.openxmlformats.org/officeDocument/2006/relationships/image" Target="/xl/media/image17.jpeg" Id="rId17"/><Relationship Type="http://schemas.openxmlformats.org/officeDocument/2006/relationships/image" Target="/xl/media/image18.jpeg" Id="rId18"/><Relationship Type="http://schemas.openxmlformats.org/officeDocument/2006/relationships/image" Target="/xl/media/image19.jpeg" Id="rId19"/><Relationship Type="http://schemas.openxmlformats.org/officeDocument/2006/relationships/image" Target="/xl/media/image20.jpeg" Id="rId20"/><Relationship Type="http://schemas.openxmlformats.org/officeDocument/2006/relationships/image" Target="/xl/media/image21.jpeg" Id="rId21"/><Relationship Type="http://schemas.openxmlformats.org/officeDocument/2006/relationships/image" Target="/xl/media/image22.jpeg" Id="rId22"/><Relationship Type="http://schemas.openxmlformats.org/officeDocument/2006/relationships/image" Target="/xl/media/image23.jpeg" Id="rId23"/><Relationship Type="http://schemas.openxmlformats.org/officeDocument/2006/relationships/image" Target="/xl/media/image24.jpeg" Id="rId24"/><Relationship Type="http://schemas.openxmlformats.org/officeDocument/2006/relationships/image" Target="/xl/media/image25.jpeg" Id="rId25"/><Relationship Type="http://schemas.openxmlformats.org/officeDocument/2006/relationships/image" Target="/xl/media/image26.jpeg" Id="rId26"/><Relationship Type="http://schemas.openxmlformats.org/officeDocument/2006/relationships/image" Target="/xl/media/image27.jpeg" Id="rId27"/><Relationship Type="http://schemas.openxmlformats.org/officeDocument/2006/relationships/image" Target="/xl/media/image28.jpeg" Id="rId28"/><Relationship Type="http://schemas.openxmlformats.org/officeDocument/2006/relationships/image" Target="/xl/media/image29.jpeg" Id="rId29"/><Relationship Type="http://schemas.openxmlformats.org/officeDocument/2006/relationships/image" Target="/xl/media/image30.jpeg" Id="rId30"/><Relationship Type="http://schemas.openxmlformats.org/officeDocument/2006/relationships/image" Target="/xl/media/image31.jpeg" Id="rId31"/><Relationship Type="http://schemas.openxmlformats.org/officeDocument/2006/relationships/image" Target="/xl/media/image32.jpeg" Id="rId32"/><Relationship Type="http://schemas.openxmlformats.org/officeDocument/2006/relationships/image" Target="/xl/media/image33.jpeg" Id="rId33"/><Relationship Type="http://schemas.openxmlformats.org/officeDocument/2006/relationships/image" Target="/xl/media/image34.jpeg" Id="rId34"/><Relationship Type="http://schemas.openxmlformats.org/officeDocument/2006/relationships/image" Target="/xl/media/image35.jpeg" Id="rId35"/><Relationship Type="http://schemas.openxmlformats.org/officeDocument/2006/relationships/image" Target="/xl/media/image36.jpeg" Id="rId36"/><Relationship Type="http://schemas.openxmlformats.org/officeDocument/2006/relationships/image" Target="/xl/media/image37.jpeg" Id="rId37"/><Relationship Type="http://schemas.openxmlformats.org/officeDocument/2006/relationships/image" Target="/xl/media/image38.jpeg" Id="rId38"/><Relationship Type="http://schemas.openxmlformats.org/officeDocument/2006/relationships/image" Target="/xl/media/image39.jpeg" Id="rId39"/><Relationship Type="http://schemas.openxmlformats.org/officeDocument/2006/relationships/image" Target="/xl/media/image40.jpeg" Id="rId40"/><Relationship Type="http://schemas.openxmlformats.org/officeDocument/2006/relationships/image" Target="/xl/media/image41.jpeg" Id="rId41"/><Relationship Type="http://schemas.openxmlformats.org/officeDocument/2006/relationships/image" Target="/xl/media/image42.jpeg" Id="rId42"/><Relationship Type="http://schemas.openxmlformats.org/officeDocument/2006/relationships/image" Target="/xl/media/image43.jpeg" Id="rId43"/><Relationship Type="http://schemas.openxmlformats.org/officeDocument/2006/relationships/image" Target="/xl/media/image44.jpeg" Id="rId44"/><Relationship Type="http://schemas.openxmlformats.org/officeDocument/2006/relationships/image" Target="/xl/media/image45.jpeg" Id="rId45"/><Relationship Type="http://schemas.openxmlformats.org/officeDocument/2006/relationships/image" Target="/xl/media/image46.jpeg" Id="rId46"/><Relationship Type="http://schemas.openxmlformats.org/officeDocument/2006/relationships/image" Target="/xl/media/image47.jpeg" Id="rId47"/><Relationship Type="http://schemas.openxmlformats.org/officeDocument/2006/relationships/image" Target="/xl/media/image48.jpeg" Id="rId48"/><Relationship Type="http://schemas.openxmlformats.org/officeDocument/2006/relationships/image" Target="/xl/media/image49.jpeg" Id="rId49"/><Relationship Type="http://schemas.openxmlformats.org/officeDocument/2006/relationships/image" Target="/xl/media/image50.jpeg" Id="rId50"/><Relationship Type="http://schemas.openxmlformats.org/officeDocument/2006/relationships/image" Target="/xl/media/image51.jpeg" Id="rId51"/><Relationship Type="http://schemas.openxmlformats.org/officeDocument/2006/relationships/image" Target="/xl/media/image52.jpeg" Id="rId52"/><Relationship Type="http://schemas.openxmlformats.org/officeDocument/2006/relationships/image" Target="/xl/media/image53.jpeg" Id="rId53"/><Relationship Type="http://schemas.openxmlformats.org/officeDocument/2006/relationships/image" Target="/xl/media/image54.jpeg" Id="rId54"/><Relationship Type="http://schemas.openxmlformats.org/officeDocument/2006/relationships/image" Target="/xl/media/image55.jpeg" Id="rId55"/><Relationship Type="http://schemas.openxmlformats.org/officeDocument/2006/relationships/image" Target="/xl/media/image56.jpeg" Id="rId56"/><Relationship Type="http://schemas.openxmlformats.org/officeDocument/2006/relationships/image" Target="/xl/media/image57.jpeg" Id="rId57"/><Relationship Type="http://schemas.openxmlformats.org/officeDocument/2006/relationships/image" Target="/xl/media/image58.jpeg" Id="rId58"/><Relationship Type="http://schemas.openxmlformats.org/officeDocument/2006/relationships/image" Target="/xl/media/image59.jpeg" Id="rId59"/><Relationship Type="http://schemas.openxmlformats.org/officeDocument/2006/relationships/image" Target="/xl/media/image60.jpeg" Id="rId60"/><Relationship Type="http://schemas.openxmlformats.org/officeDocument/2006/relationships/image" Target="/xl/media/image61.jpeg" Id="rId61"/><Relationship Type="http://schemas.openxmlformats.org/officeDocument/2006/relationships/image" Target="/xl/media/image62.jpeg" Id="rId62"/><Relationship Type="http://schemas.openxmlformats.org/officeDocument/2006/relationships/image" Target="/xl/media/image63.jpeg" Id="rId63"/></Relationships>
</file>

<file path=xl/drawings/drawing1.xml><?xml version="1.0" encoding="utf-8"?>
<wsDr xmlns="http://schemas.openxmlformats.org/drawingml/2006/spreadsheetDrawing">
  <oneCellAnchor>
    <from>
      <col>1</col>
      <colOff>0</colOff>
      <row>27</row>
      <rowOff>0</rowOff>
    </from>
    <ext cx="1543050" cy="20574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28</row>
      <rowOff>0</rowOff>
    </from>
    <ext cx="1543050" cy="20574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29</row>
      <rowOff>0</rowOff>
    </from>
    <ext cx="1543050" cy="20574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30</row>
      <rowOff>0</rowOff>
    </from>
    <ext cx="1543050" cy="2057400"/>
    <pic>
      <nvPicPr>
        <cNvPr id="5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31</row>
      <rowOff>0</rowOff>
    </from>
    <ext cx="1543050" cy="2057400"/>
    <pic>
      <nvPicPr>
        <cNvPr id="6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32</row>
      <rowOff>0</rowOff>
    </from>
    <ext cx="1543050" cy="2057400"/>
    <pic>
      <nvPicPr>
        <cNvPr id="7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33</row>
      <rowOff>0</rowOff>
    </from>
    <ext cx="1543050" cy="2057400"/>
    <pic>
      <nvPicPr>
        <cNvPr id="8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34</row>
      <rowOff>0</rowOff>
    </from>
    <ext cx="1543050" cy="2057400"/>
    <pic>
      <nvPicPr>
        <cNvPr id="9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35</row>
      <rowOff>0</rowOff>
    </from>
    <ext cx="1543050" cy="2057400"/>
    <pic>
      <nvPicPr>
        <cNvPr id="10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36</row>
      <rowOff>0</rowOff>
    </from>
    <ext cx="1543050" cy="2057400"/>
    <pic>
      <nvPicPr>
        <cNvPr id="11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37</row>
      <rowOff>0</rowOff>
    </from>
    <ext cx="1543050" cy="2057400"/>
    <pic>
      <nvPicPr>
        <cNvPr id="12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38</row>
      <rowOff>0</rowOff>
    </from>
    <ext cx="1543050" cy="2057400"/>
    <pic>
      <nvPicPr>
        <cNvPr id="13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39</row>
      <rowOff>0</rowOff>
    </from>
    <ext cx="1543050" cy="2057400"/>
    <pic>
      <nvPicPr>
        <cNvPr id="14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40</row>
      <rowOff>0</rowOff>
    </from>
    <ext cx="1543050" cy="2057400"/>
    <pic>
      <nvPicPr>
        <cNvPr id="15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41</row>
      <rowOff>0</rowOff>
    </from>
    <ext cx="1543050" cy="2057400"/>
    <pic>
      <nvPicPr>
        <cNvPr id="16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42</row>
      <rowOff>0</rowOff>
    </from>
    <ext cx="1543050" cy="2057400"/>
    <pic>
      <nvPicPr>
        <cNvPr id="17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43</row>
      <rowOff>0</rowOff>
    </from>
    <ext cx="1543050" cy="2057400"/>
    <pic>
      <nvPicPr>
        <cNvPr id="18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44</row>
      <rowOff>0</rowOff>
    </from>
    <ext cx="1543050" cy="2057400"/>
    <pic>
      <nvPicPr>
        <cNvPr id="19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45</row>
      <rowOff>0</rowOff>
    </from>
    <ext cx="1543050" cy="2057400"/>
    <pic>
      <nvPicPr>
        <cNvPr id="20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46</row>
      <rowOff>0</rowOff>
    </from>
    <ext cx="1543050" cy="2057400"/>
    <pic>
      <nvPicPr>
        <cNvPr id="21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47</row>
      <rowOff>0</rowOff>
    </from>
    <ext cx="1543050" cy="2057400"/>
    <pic>
      <nvPicPr>
        <cNvPr id="22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27</row>
      <rowOff>0</rowOff>
    </from>
    <ext cx="1543050" cy="20574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28</row>
      <rowOff>0</rowOff>
    </from>
    <ext cx="1543050" cy="20574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29</row>
      <rowOff>0</rowOff>
    </from>
    <ext cx="1543050" cy="20574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30</row>
      <rowOff>0</rowOff>
    </from>
    <ext cx="1543050" cy="20574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31</row>
      <rowOff>0</rowOff>
    </from>
    <ext cx="1543050" cy="20574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32</row>
      <rowOff>0</rowOff>
    </from>
    <ext cx="1543050" cy="20574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33</row>
      <rowOff>0</rowOff>
    </from>
    <ext cx="1543050" cy="20574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34</row>
      <rowOff>0</rowOff>
    </from>
    <ext cx="1543050" cy="20574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35</row>
      <rowOff>0</rowOff>
    </from>
    <ext cx="1543050" cy="20574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36</row>
      <rowOff>0</rowOff>
    </from>
    <ext cx="1543050" cy="20574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37</row>
      <rowOff>0</rowOff>
    </from>
    <ext cx="1543050" cy="205740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38</row>
      <rowOff>0</rowOff>
    </from>
    <ext cx="1543050" cy="205740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39</row>
      <rowOff>0</rowOff>
    </from>
    <ext cx="1543050" cy="205740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40</row>
      <rowOff>0</rowOff>
    </from>
    <ext cx="1543050" cy="205740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41</row>
      <rowOff>0</rowOff>
    </from>
    <ext cx="1543050" cy="205740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42</row>
      <rowOff>0</rowOff>
    </from>
    <ext cx="1543050" cy="205740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43</row>
      <rowOff>0</rowOff>
    </from>
    <ext cx="1543050" cy="205740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44</row>
      <rowOff>0</rowOff>
    </from>
    <ext cx="1543050" cy="205740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45</row>
      <rowOff>0</rowOff>
    </from>
    <ext cx="1543050" cy="205740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46</row>
      <rowOff>0</rowOff>
    </from>
    <ext cx="1543050" cy="205740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47</row>
      <rowOff>0</rowOff>
    </from>
    <ext cx="1543050" cy="205740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27</row>
      <rowOff>0</rowOff>
    </from>
    <ext cx="1543050" cy="205740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28</row>
      <rowOff>0</rowOff>
    </from>
    <ext cx="1543050" cy="205740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29</row>
      <rowOff>0</rowOff>
    </from>
    <ext cx="1543050" cy="205740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30</row>
      <rowOff>0</rowOff>
    </from>
    <ext cx="1543050" cy="205740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31</row>
      <rowOff>0</rowOff>
    </from>
    <ext cx="1543050" cy="205740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32</row>
      <rowOff>0</rowOff>
    </from>
    <ext cx="1543050" cy="205740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33</row>
      <rowOff>0</rowOff>
    </from>
    <ext cx="1543050" cy="205740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34</row>
      <rowOff>0</rowOff>
    </from>
    <ext cx="1543050" cy="205740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35</row>
      <rowOff>0</rowOff>
    </from>
    <ext cx="1543050" cy="205740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36</row>
      <rowOff>0</rowOff>
    </from>
    <ext cx="1543050" cy="205740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37</row>
      <rowOff>0</rowOff>
    </from>
    <ext cx="1543050" cy="205740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38</row>
      <rowOff>0</rowOff>
    </from>
    <ext cx="1543050" cy="205740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1543050" cy="205740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40</row>
      <rowOff>0</rowOff>
    </from>
    <ext cx="1543050" cy="205740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41</row>
      <rowOff>0</rowOff>
    </from>
    <ext cx="1543050" cy="205740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42</row>
      <rowOff>0</rowOff>
    </from>
    <ext cx="1543050" cy="205740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43</row>
      <rowOff>0</rowOff>
    </from>
    <ext cx="1543050" cy="205740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44</row>
      <rowOff>0</rowOff>
    </from>
    <ext cx="1543050" cy="205740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45</row>
      <rowOff>0</rowOff>
    </from>
    <ext cx="1543050" cy="205740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46</row>
      <rowOff>0</rowOff>
    </from>
    <ext cx="1543050" cy="205740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47</row>
      <rowOff>0</rowOff>
    </from>
    <ext cx="1543050" cy="205740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L48"/>
  <sheetViews>
    <sheetView tabSelected="1" topLeftCell="A20" zoomScale="70" zoomScaleNormal="70" workbookViewId="0">
      <selection activeCell="E27" sqref="E27"/>
    </sheetView>
  </sheetViews>
  <sheetFormatPr baseColWidth="8" defaultColWidth="9" defaultRowHeight="14.4" customHeight="1"/>
  <cols>
    <col width="22.84375" customWidth="1" style="1" min="1" max="1"/>
    <col width="22" customWidth="1" style="42" min="2" max="2"/>
    <col width="20" customWidth="1" style="42" min="3" max="4"/>
    <col width="20" customWidth="1" style="42" min="4" max="4"/>
    <col width="30" customWidth="1" style="42" min="5" max="5"/>
    <col width="30" customWidth="1" style="42" min="6" max="6"/>
    <col width="15" customWidth="1" style="1" min="7" max="8"/>
    <col width="14.765625" customWidth="1" style="1" min="9" max="9"/>
    <col width="9.4609375" customWidth="1" style="1" min="10" max="12"/>
  </cols>
  <sheetData>
    <row r="1" ht="39" customHeight="1" s="42">
      <c r="A1" s="39" t="inlineStr">
        <is>
          <t>2026年4月份出差车辆行车记录表</t>
        </is>
      </c>
      <c r="B1" s="34" t="n"/>
      <c r="C1" s="34" t="n"/>
      <c r="D1" s="34" t="n"/>
      <c r="E1" s="34" t="n"/>
      <c r="F1" s="34" t="n"/>
      <c r="G1" s="34" t="n"/>
      <c r="H1" s="34" t="n"/>
      <c r="I1" s="34" t="n"/>
      <c r="J1" s="34" t="n"/>
      <c r="K1" s="34" t="n"/>
      <c r="L1" s="35" t="n"/>
    </row>
    <row r="2" ht="26" customHeight="1" s="42">
      <c r="A2" s="2" t="inlineStr">
        <is>
          <t>车牌号</t>
        </is>
      </c>
      <c r="B2" s="2" t="inlineStr">
        <is>
          <t>苏A859EB</t>
        </is>
      </c>
      <c r="C2" s="33" t="inlineStr">
        <is>
          <t>报销部门：亥客技术                     报销人：郭良志</t>
        </is>
      </c>
      <c r="D2" s="34" t="n"/>
      <c r="E2" s="34" t="n"/>
      <c r="F2" s="34" t="n"/>
      <c r="G2" s="34" t="n"/>
      <c r="H2" s="35" t="n"/>
      <c r="I2" s="43" t="inlineStr">
        <is>
          <t>制表日期：2026年5月28日</t>
        </is>
      </c>
      <c r="J2" s="34" t="n"/>
      <c r="K2" s="34" t="n"/>
      <c r="L2" s="35" t="n"/>
    </row>
    <row r="3" ht="22" customHeight="1" s="42">
      <c r="A3" s="36" t="inlineStr">
        <is>
          <t>日期</t>
        </is>
      </c>
      <c r="B3" s="40" t="inlineStr">
        <is>
          <t>用车事由</t>
        </is>
      </c>
      <c r="C3" s="36" t="inlineStr">
        <is>
          <t>发车</t>
        </is>
      </c>
      <c r="D3" s="35" t="n"/>
      <c r="E3" s="36" t="inlineStr">
        <is>
          <t>到达</t>
        </is>
      </c>
      <c r="F3" s="35" t="n"/>
      <c r="G3" s="4" t="n"/>
      <c r="H3" s="40" t="inlineStr">
        <is>
          <t>行驶总公里数</t>
        </is>
      </c>
      <c r="I3" s="40" t="inlineStr">
        <is>
          <t>油费
（0.8元/公里）</t>
        </is>
      </c>
      <c r="J3" s="36" t="inlineStr">
        <is>
          <t>停车费</t>
        </is>
      </c>
      <c r="K3" s="36" t="inlineStr">
        <is>
          <t>过路费</t>
        </is>
      </c>
      <c r="L3" s="38" t="inlineStr">
        <is>
          <t>备注</t>
        </is>
      </c>
    </row>
    <row r="4" ht="37" customHeight="1" s="42">
      <c r="A4" s="37" t="n"/>
      <c r="B4" s="37" t="n"/>
      <c r="C4" s="5" t="inlineStr">
        <is>
          <t>发车地点</t>
        </is>
      </c>
      <c r="D4" s="5" t="inlineStr">
        <is>
          <t>起始公里数
（公里）</t>
        </is>
      </c>
      <c r="E4" s="5" t="inlineStr">
        <is>
          <t>到达地点</t>
        </is>
      </c>
      <c r="F4" s="5" t="inlineStr">
        <is>
          <t>终止公里数
（公里）</t>
        </is>
      </c>
      <c r="G4" s="5" t="inlineStr">
        <is>
          <t>是否往返</t>
        </is>
      </c>
      <c r="H4" s="37" t="n"/>
      <c r="I4" s="37" t="n"/>
      <c r="J4" s="37" t="n"/>
      <c r="K4" s="37" t="n"/>
      <c r="L4" s="37" t="n"/>
    </row>
    <row r="5" ht="37" customHeight="1" s="42">
      <c r="A5" s="6" t="n">
        <v>46114</v>
      </c>
      <c r="B5" s="7" t="n"/>
      <c r="C5" s="8" t="inlineStr">
        <is>
          <t>南京市</t>
        </is>
      </c>
      <c r="D5" s="8" t="n">
        <v>170760</v>
      </c>
      <c r="E5" s="8" t="inlineStr">
        <is>
          <t>合肥市</t>
        </is>
      </c>
      <c r="F5" s="8" t="n">
        <v>170958</v>
      </c>
      <c r="G5" s="8" t="n"/>
      <c r="H5" s="8">
        <f>F5-D5</f>
        <v/>
      </c>
      <c r="I5" s="8">
        <f>H5*0.8</f>
        <v/>
      </c>
      <c r="J5" s="4" t="n"/>
      <c r="K5" s="4" t="n"/>
      <c r="L5" s="3" t="n"/>
    </row>
    <row r="6" ht="37" customHeight="1" s="42">
      <c r="A6" s="6" t="n">
        <v>46115</v>
      </c>
      <c r="B6" s="6" t="n"/>
      <c r="C6" s="8" t="inlineStr">
        <is>
          <t>合肥市</t>
        </is>
      </c>
      <c r="D6" s="8" t="n">
        <v>170958</v>
      </c>
      <c r="E6" s="8" t="inlineStr">
        <is>
          <t>南京市</t>
        </is>
      </c>
      <c r="F6" s="8" t="n">
        <v>171167</v>
      </c>
      <c r="G6" s="8" t="n"/>
      <c r="H6" s="8">
        <f>F6-D6</f>
        <v/>
      </c>
      <c r="I6" s="8">
        <f>H6*0.8</f>
        <v/>
      </c>
      <c r="J6" s="4" t="n"/>
      <c r="K6" s="4" t="n"/>
      <c r="L6" s="3" t="n"/>
    </row>
    <row r="7" ht="37" customHeight="1" s="42">
      <c r="A7" s="6" t="n">
        <v>46118</v>
      </c>
      <c r="B7" s="6" t="n"/>
      <c r="C7" s="8" t="inlineStr">
        <is>
          <t>南京市</t>
        </is>
      </c>
      <c r="D7" s="8" t="n">
        <v>171257</v>
      </c>
      <c r="E7" s="8" t="inlineStr">
        <is>
          <t>马鞍山市</t>
        </is>
      </c>
      <c r="F7" s="8" t="n">
        <v>171328</v>
      </c>
      <c r="G7" s="8" t="n"/>
      <c r="H7" s="8">
        <f>F7-D7</f>
        <v/>
      </c>
      <c r="I7" s="8">
        <f>H7*0.8</f>
        <v/>
      </c>
      <c r="J7" s="4" t="n"/>
      <c r="K7" s="4" t="n"/>
      <c r="L7" s="3" t="n"/>
    </row>
    <row r="8" ht="37" customHeight="1" s="42">
      <c r="A8" s="6" t="n">
        <v>46119</v>
      </c>
      <c r="B8" s="6" t="n"/>
      <c r="C8" s="8" t="inlineStr">
        <is>
          <t>马鞍山市</t>
        </is>
      </c>
      <c r="D8" s="8" t="n">
        <v>171328</v>
      </c>
      <c r="E8" s="8" t="inlineStr">
        <is>
          <t>南京市</t>
        </is>
      </c>
      <c r="F8" s="8" t="n">
        <v>171397</v>
      </c>
      <c r="G8" s="8" t="n"/>
      <c r="H8" s="8">
        <f>F8-D8</f>
        <v/>
      </c>
      <c r="I8" s="8">
        <f>H8*0.8</f>
        <v/>
      </c>
      <c r="J8" s="4" t="n"/>
      <c r="K8" s="4" t="n"/>
      <c r="L8" s="3" t="n"/>
    </row>
    <row r="9" ht="37" customHeight="1" s="42">
      <c r="A9" s="6" t="n">
        <v>46119</v>
      </c>
      <c r="B9" s="6" t="n"/>
      <c r="C9" s="8" t="inlineStr">
        <is>
          <t>南京市</t>
        </is>
      </c>
      <c r="D9" s="8" t="n">
        <v>171397</v>
      </c>
      <c r="E9" s="8" t="inlineStr">
        <is>
          <t>马鞍山市</t>
        </is>
      </c>
      <c r="F9" s="8" t="n">
        <v>171468</v>
      </c>
      <c r="G9" s="8" t="n"/>
      <c r="H9" s="8">
        <f>F9-D9</f>
        <v/>
      </c>
      <c r="I9" s="8">
        <f>H9*0.8</f>
        <v/>
      </c>
      <c r="J9" s="4" t="n"/>
      <c r="K9" s="4" t="n"/>
      <c r="L9" s="3" t="n"/>
    </row>
    <row r="10" ht="37" customHeight="1" s="42">
      <c r="A10" s="6" t="n">
        <v>46120</v>
      </c>
      <c r="B10" s="6" t="n"/>
      <c r="C10" s="8" t="inlineStr">
        <is>
          <t>马鞍山市</t>
        </is>
      </c>
      <c r="D10" s="8" t="n">
        <v>171468</v>
      </c>
      <c r="E10" s="8" t="inlineStr">
        <is>
          <t>南京市</t>
        </is>
      </c>
      <c r="F10" s="8" t="n">
        <v>171538</v>
      </c>
      <c r="G10" s="8" t="n"/>
      <c r="H10" s="8">
        <f>F10-D10</f>
        <v/>
      </c>
      <c r="I10" s="8">
        <f>H10*0.8</f>
        <v/>
      </c>
      <c r="J10" s="4" t="n"/>
      <c r="K10" s="4" t="n"/>
      <c r="L10" s="3" t="n"/>
    </row>
    <row r="11" ht="37" customHeight="1" s="42">
      <c r="A11" s="6" t="n">
        <v>46120</v>
      </c>
      <c r="B11" s="6" t="n"/>
      <c r="C11" s="8" t="inlineStr">
        <is>
          <t>南京市</t>
        </is>
      </c>
      <c r="D11" s="8" t="n">
        <v>171538</v>
      </c>
      <c r="E11" s="8" t="inlineStr">
        <is>
          <t>马鞍山市</t>
        </is>
      </c>
      <c r="F11" s="8" t="n">
        <v>171608</v>
      </c>
      <c r="G11" s="8" t="n"/>
      <c r="H11" s="8">
        <f>F11-D11</f>
        <v/>
      </c>
      <c r="I11" s="8">
        <f>H11*0.8</f>
        <v/>
      </c>
      <c r="J11" s="4" t="n"/>
      <c r="K11" s="4" t="n"/>
      <c r="L11" s="3" t="n"/>
    </row>
    <row r="12" ht="37" customHeight="1" s="42">
      <c r="A12" s="6" t="n">
        <v>46121</v>
      </c>
      <c r="B12" s="6" t="n"/>
      <c r="C12" s="8" t="inlineStr">
        <is>
          <t>马鞍山市</t>
        </is>
      </c>
      <c r="D12" s="8" t="n">
        <v>171608</v>
      </c>
      <c r="E12" s="8" t="inlineStr">
        <is>
          <t>南京市</t>
        </is>
      </c>
      <c r="F12" s="8" t="n">
        <v>171701</v>
      </c>
      <c r="G12" s="8" t="n"/>
      <c r="H12" s="8">
        <f>F12-D12</f>
        <v/>
      </c>
      <c r="I12" s="8">
        <f>H12*0.8</f>
        <v/>
      </c>
      <c r="J12" s="4" t="n"/>
      <c r="K12" s="4" t="n"/>
      <c r="L12" s="3" t="n"/>
    </row>
    <row r="13" ht="37" customHeight="1" s="42">
      <c r="A13" s="6" t="n">
        <v>46129</v>
      </c>
      <c r="B13" s="6" t="n"/>
      <c r="C13" s="8" t="inlineStr">
        <is>
          <t>南京市</t>
        </is>
      </c>
      <c r="D13" s="8" t="n">
        <v>172237</v>
      </c>
      <c r="E13" s="8" t="inlineStr">
        <is>
          <t>合肥市</t>
        </is>
      </c>
      <c r="F13" s="8" t="n">
        <v>172431</v>
      </c>
      <c r="G13" s="8" t="n"/>
      <c r="H13" s="8">
        <f>F13-D13</f>
        <v/>
      </c>
      <c r="I13" s="8">
        <f>H13*0.8</f>
        <v/>
      </c>
      <c r="J13" s="4" t="n"/>
      <c r="K13" s="4" t="n"/>
      <c r="L13" s="3" t="n"/>
    </row>
    <row r="14" ht="37" customHeight="1" s="42">
      <c r="A14" s="6" t="n">
        <v>46129</v>
      </c>
      <c r="B14" s="6" t="n"/>
      <c r="C14" s="8" t="inlineStr">
        <is>
          <t>合肥市</t>
        </is>
      </c>
      <c r="D14" s="8" t="n">
        <v>172431</v>
      </c>
      <c r="E14" s="8" t="inlineStr">
        <is>
          <t>南京市</t>
        </is>
      </c>
      <c r="F14" s="8" t="n">
        <v>172626</v>
      </c>
      <c r="G14" s="8" t="n"/>
      <c r="H14" s="8">
        <f>F14-D14</f>
        <v/>
      </c>
      <c r="I14" s="8">
        <f>H14*0.8</f>
        <v/>
      </c>
      <c r="J14" s="4" t="n"/>
      <c r="K14" s="4" t="n"/>
      <c r="L14" s="3" t="n"/>
    </row>
    <row r="15" ht="37" customHeight="1" s="42">
      <c r="A15" s="6" t="n">
        <v>46134</v>
      </c>
      <c r="B15" s="6" t="n"/>
      <c r="C15" s="8" t="inlineStr">
        <is>
          <t>南京市</t>
        </is>
      </c>
      <c r="D15" s="8" t="n">
        <v>172973</v>
      </c>
      <c r="E15" s="8" t="inlineStr">
        <is>
          <t>合肥市</t>
        </is>
      </c>
      <c r="F15" s="8" t="n">
        <v>173161</v>
      </c>
      <c r="G15" s="8" t="n"/>
      <c r="H15" s="8">
        <f>F15-D15</f>
        <v/>
      </c>
      <c r="I15" s="8">
        <f>H15*0.8</f>
        <v/>
      </c>
      <c r="J15" s="4" t="n"/>
      <c r="K15" s="4" t="n"/>
      <c r="L15" s="3" t="n"/>
    </row>
    <row r="16" ht="37" customHeight="1" s="42">
      <c r="A16" s="6" t="n">
        <v>46135</v>
      </c>
      <c r="B16" s="6" t="n"/>
      <c r="C16" s="8" t="inlineStr">
        <is>
          <t>合肥市</t>
        </is>
      </c>
      <c r="D16" s="8" t="n">
        <v>173161</v>
      </c>
      <c r="E16" s="8" t="inlineStr">
        <is>
          <t>南京市</t>
        </is>
      </c>
      <c r="F16" s="8" t="n">
        <v>173357</v>
      </c>
      <c r="G16" s="8" t="n"/>
      <c r="H16" s="8">
        <f>F16-D16</f>
        <v/>
      </c>
      <c r="I16" s="8">
        <f>H16*0.8</f>
        <v/>
      </c>
      <c r="J16" s="4" t="n"/>
      <c r="K16" s="4" t="n"/>
      <c r="L16" s="3" t="n"/>
    </row>
    <row r="17" ht="37" customHeight="1" s="42">
      <c r="A17" s="6" t="n">
        <v>46135</v>
      </c>
      <c r="B17" s="6" t="n"/>
      <c r="C17" s="8" t="inlineStr">
        <is>
          <t>南京市</t>
        </is>
      </c>
      <c r="D17" s="8" t="n">
        <v>173357</v>
      </c>
      <c r="E17" s="8" t="inlineStr">
        <is>
          <t>合肥市</t>
        </is>
      </c>
      <c r="F17" s="8" t="n">
        <v>173546</v>
      </c>
      <c r="G17" s="8" t="n"/>
      <c r="H17" s="8">
        <f>F17-D17</f>
        <v/>
      </c>
      <c r="I17" s="8">
        <f>H17*0.8</f>
        <v/>
      </c>
      <c r="J17" s="4" t="n"/>
      <c r="K17" s="4" t="n"/>
      <c r="L17" s="3" t="n"/>
    </row>
    <row r="18" ht="39" customHeight="1" s="42">
      <c r="A18" s="21" t="n">
        <v>46136</v>
      </c>
      <c r="B18" s="22" t="n"/>
      <c r="C18" s="23" t="inlineStr">
        <is>
          <t>合肥市</t>
        </is>
      </c>
      <c r="D18" s="23" t="n">
        <v>173546</v>
      </c>
      <c r="E18" s="23" t="inlineStr">
        <is>
          <t>南京市</t>
        </is>
      </c>
      <c r="F18" s="23" t="n">
        <v>173738</v>
      </c>
      <c r="G18" s="23" t="n"/>
      <c r="H18" s="23">
        <f>F18-D18</f>
        <v/>
      </c>
      <c r="I18" s="23">
        <f>H18*0.8</f>
        <v/>
      </c>
      <c r="J18" s="24" t="n"/>
      <c r="K18" s="24" t="n"/>
      <c r="L18" s="25" t="n"/>
    </row>
    <row r="19" ht="29" customHeight="1" s="42">
      <c r="A19" s="21" t="n">
        <v>46139</v>
      </c>
      <c r="B19" s="22" t="n"/>
      <c r="C19" s="23" t="inlineStr">
        <is>
          <t>南京市</t>
        </is>
      </c>
      <c r="D19" s="23" t="n">
        <v>173900</v>
      </c>
      <c r="E19" s="23" t="inlineStr">
        <is>
          <t>合肥市</t>
        </is>
      </c>
      <c r="F19" s="23" t="n">
        <v>174053</v>
      </c>
      <c r="G19" s="23" t="n"/>
      <c r="H19" s="23">
        <f>F19-D19</f>
        <v/>
      </c>
      <c r="I19" s="23">
        <f>H19*0.8</f>
        <v/>
      </c>
      <c r="J19" s="24" t="n"/>
      <c r="K19" s="24" t="n"/>
      <c r="L19" s="25" t="n"/>
    </row>
    <row r="20" ht="34" customHeight="1" s="42">
      <c r="A20" s="21" t="n">
        <v>46140</v>
      </c>
      <c r="B20" s="22" t="n"/>
      <c r="C20" s="23" t="inlineStr">
        <is>
          <t>合肥市</t>
        </is>
      </c>
      <c r="D20" s="23" t="n">
        <v>174053</v>
      </c>
      <c r="E20" s="23" t="inlineStr">
        <is>
          <t>南京市</t>
        </is>
      </c>
      <c r="F20" s="23" t="n">
        <v>174258</v>
      </c>
      <c r="G20" s="23" t="n"/>
      <c r="H20" s="23">
        <f>F20-D20</f>
        <v/>
      </c>
      <c r="I20" s="23">
        <f>H20*0.8</f>
        <v/>
      </c>
      <c r="J20" s="24" t="n"/>
      <c r="K20" s="24" t="n"/>
      <c r="L20" s="25" t="n"/>
    </row>
    <row r="21" ht="32" customHeight="1" s="42">
      <c r="A21" s="6" t="n"/>
      <c r="B21" s="8" t="inlineStr">
        <is>
          <t>合计：</t>
        </is>
      </c>
      <c r="C21" s="8" t="n"/>
      <c r="D21" s="8" t="n"/>
      <c r="E21" s="8" t="n"/>
      <c r="F21" s="8" t="n"/>
      <c r="G21" s="8" t="n"/>
      <c r="H21" s="26">
        <f>SUM(H5:H20)</f>
        <v/>
      </c>
      <c r="I21" s="26">
        <f>SUM(I5:I20)</f>
        <v/>
      </c>
      <c r="J21" s="10" t="n"/>
      <c r="K21" s="9">
        <f>SUM(K5:K20)</f>
        <v/>
      </c>
      <c r="L21" s="11" t="n"/>
    </row>
    <row r="22" ht="24" customHeight="1" s="42">
      <c r="A22" s="12" t="n"/>
      <c r="B22" s="12" t="n"/>
      <c r="C22" s="41" t="inlineStr">
        <is>
          <t>领导签名字：（手签）</t>
        </is>
      </c>
      <c r="E22" s="12" t="n"/>
      <c r="F22" s="12" t="n"/>
      <c r="G22" s="12" t="n"/>
      <c r="J22" s="12" t="n"/>
      <c r="K22" s="12" t="n"/>
      <c r="L22" s="12" t="n"/>
    </row>
    <row r="23" ht="24" customHeight="1" s="42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</row>
    <row r="24" ht="39" customHeight="1" s="42">
      <c r="A24" s="12" t="n"/>
      <c r="B24" s="13" t="inlineStr">
        <is>
          <t>总里程数</t>
        </is>
      </c>
      <c r="C24" s="13" t="inlineStr">
        <is>
          <t>实报里程数</t>
        </is>
      </c>
      <c r="D24" s="13" t="inlineStr">
        <is>
          <t>报销基数（元/公里)</t>
        </is>
      </c>
      <c r="E24" s="14" t="inlineStr">
        <is>
          <t>过路费（元）</t>
        </is>
      </c>
      <c r="F24" s="13" t="inlineStr">
        <is>
          <t>停车费</t>
        </is>
      </c>
      <c r="G24" s="13" t="inlineStr">
        <is>
          <t>报销金额(元）</t>
        </is>
      </c>
      <c r="H24" s="34" t="n"/>
      <c r="I24" s="35" t="n"/>
      <c r="J24" s="12" t="n"/>
      <c r="K24" s="12" t="n"/>
      <c r="L24" s="12" t="n"/>
    </row>
    <row r="25" ht="37.5" customHeight="1" s="42">
      <c r="A25" s="12" t="n"/>
      <c r="B25" s="15">
        <f>H21</f>
        <v/>
      </c>
      <c r="C25" s="15">
        <f>H21</f>
        <v/>
      </c>
      <c r="D25" s="13" t="n">
        <v>0.8</v>
      </c>
      <c r="E25" s="14">
        <f>K21</f>
        <v/>
      </c>
      <c r="F25" s="13" t="n">
        <v>0</v>
      </c>
      <c r="G25" s="36">
        <f>C25*0.8+E25+F25</f>
        <v/>
      </c>
      <c r="H25" s="34" t="n"/>
      <c r="I25" s="35" t="n"/>
      <c r="J25" s="12" t="n"/>
      <c r="K25" s="12" t="n"/>
      <c r="L25" s="12" t="n"/>
    </row>
    <row r="26" ht="170" customHeight="1" s="42">
      <c r="A26" s="12" t="n"/>
      <c r="B26" s="16" t="n"/>
      <c r="C26" s="16" t="n"/>
      <c r="D26" s="17" t="n"/>
      <c r="E26" s="12" t="n"/>
      <c r="F26" s="17" t="n"/>
      <c r="G26" s="18" t="n"/>
      <c r="H26" s="18" t="n"/>
      <c r="I26" s="18" t="n"/>
      <c r="J26" s="12" t="n"/>
      <c r="K26" s="12" t="n"/>
      <c r="L26" s="12" t="n"/>
    </row>
    <row r="27" ht="25" customHeight="1" s="42">
      <c r="B27" s="45" t="inlineStr">
        <is>
          <t>车辆仪表照片</t>
        </is>
      </c>
      <c r="C27" s="45" t="inlineStr">
        <is>
          <t>对应图片文件名</t>
        </is>
      </c>
      <c r="D27" s="45" t="inlineStr">
        <is>
          <t>仪表盘总里程 (km)</t>
        </is>
      </c>
      <c r="E27" s="45" t="inlineStr">
        <is>
          <t>照片水印地点</t>
        </is>
      </c>
      <c r="F27" s="45" t="inlineStr">
        <is>
          <t>经纬度</t>
        </is>
      </c>
      <c r="G27" s="45" t="inlineStr">
        <is>
          <t>拍摄日期</t>
        </is>
      </c>
    </row>
    <row r="28" ht="165" customHeight="1" s="42">
      <c r="B28" s="46" t="n"/>
      <c r="C28" s="46" t="inlineStr">
        <is>
          <t>1.JPG</t>
        </is>
      </c>
      <c r="D28" s="47" t="n">
        <v>170760</v>
      </c>
      <c r="E28" s="48" t="inlineStr">
        <is>
          <t>南京市·龙池翠洲</t>
        </is>
      </c>
      <c r="F28" s="49" t="inlineStr">
        <is>
          <t>北纬 32°19', 东经 118°49'</t>
        </is>
      </c>
      <c r="G28" s="50" t="n">
        <v>46114</v>
      </c>
    </row>
    <row r="29" ht="165" customHeight="1" s="42">
      <c r="B29" s="46" t="n"/>
      <c r="C29" s="46" t="inlineStr">
        <is>
          <t>2.JPG</t>
        </is>
      </c>
      <c r="D29" s="47" t="n">
        <v>170958</v>
      </c>
      <c r="E29" s="48" t="inlineStr">
        <is>
          <t>合肥市·云谷创新园</t>
        </is>
      </c>
      <c r="F29" s="49" t="inlineStr">
        <is>
          <t>北纬 31°42', 东经 117°16'</t>
        </is>
      </c>
      <c r="G29" s="50" t="n">
        <v>46114</v>
      </c>
    </row>
    <row r="30" ht="165" customHeight="1" s="42">
      <c r="B30" s="46" t="n"/>
      <c r="C30" s="46" t="inlineStr">
        <is>
          <t>3.JPG</t>
        </is>
      </c>
      <c r="D30" s="47" t="n">
        <v>171167</v>
      </c>
      <c r="E30" s="48" t="inlineStr">
        <is>
          <t>南京市·龙池翠洲</t>
        </is>
      </c>
      <c r="F30" s="49" t="inlineStr">
        <is>
          <t>北纬 32°19', 东经 118°49'</t>
        </is>
      </c>
      <c r="G30" s="50" t="n">
        <v>46115</v>
      </c>
    </row>
    <row r="31" ht="165" customHeight="1" s="42">
      <c r="B31" s="46" t="n"/>
      <c r="C31" s="46" t="inlineStr">
        <is>
          <t>4.JPG</t>
        </is>
      </c>
      <c r="D31" s="47" t="n">
        <v>171257</v>
      </c>
      <c r="E31" s="48" t="inlineStr">
        <is>
          <t>南京市·龙池翠洲</t>
        </is>
      </c>
      <c r="F31" s="49" t="inlineStr">
        <is>
          <t>北纬 32°19', 东经 118°49'</t>
        </is>
      </c>
      <c r="G31" s="50" t="n">
        <v>46118</v>
      </c>
    </row>
    <row r="32" ht="165" customHeight="1" s="42">
      <c r="B32" s="46" t="n"/>
      <c r="C32" s="46" t="inlineStr">
        <is>
          <t>5.JPG</t>
        </is>
      </c>
      <c r="D32" s="47" t="n">
        <v>171328</v>
      </c>
      <c r="E32" s="48" t="inlineStr">
        <is>
          <t>马鞍山市·安徽天邦生物技术有限公司</t>
        </is>
      </c>
      <c r="F32" s="49" t="inlineStr">
        <is>
          <t>北纬 31°40', 东经 118°27'</t>
        </is>
      </c>
      <c r="G32" s="50" t="n">
        <v>46118</v>
      </c>
    </row>
    <row r="33" ht="165" customHeight="1" s="42">
      <c r="B33" s="46" t="n"/>
      <c r="C33" s="46" t="inlineStr">
        <is>
          <t>IMG_7528.JPG</t>
        </is>
      </c>
      <c r="D33" s="47" t="n">
        <v>171397</v>
      </c>
      <c r="E33" s="48" t="inlineStr">
        <is>
          <t>南京市·龙池翠洲</t>
        </is>
      </c>
      <c r="F33" s="49" t="inlineStr">
        <is>
          <t>北纬 32°19', 东经 118°49'</t>
        </is>
      </c>
      <c r="G33" s="50" t="n">
        <v>46119</v>
      </c>
    </row>
    <row r="34" ht="165" customHeight="1" s="42">
      <c r="B34" s="46" t="n"/>
      <c r="C34" s="46" t="inlineStr">
        <is>
          <t>IMG_7529.JPG</t>
        </is>
      </c>
      <c r="D34" s="47" t="n">
        <v>171468</v>
      </c>
      <c r="E34" s="48" t="inlineStr">
        <is>
          <t>马鞍山市·安徽天邦生物技术有限公司</t>
        </is>
      </c>
      <c r="F34" s="49" t="inlineStr">
        <is>
          <t>北纬 31°40', 东经 118°27'</t>
        </is>
      </c>
      <c r="G34" s="50" t="n">
        <v>46119</v>
      </c>
    </row>
    <row r="35" ht="165" customHeight="1" s="42">
      <c r="B35" s="46" t="n"/>
      <c r="C35" s="46" t="inlineStr">
        <is>
          <t>IMG_7532.JPG</t>
        </is>
      </c>
      <c r="D35" s="47" t="n">
        <v>171538</v>
      </c>
      <c r="E35" s="48" t="inlineStr">
        <is>
          <t>南京市·南京市六合区信访局</t>
        </is>
      </c>
      <c r="F35" s="49" t="inlineStr">
        <is>
          <t>北纬 32°19', 东经 118°49'</t>
        </is>
      </c>
      <c r="G35" s="50" t="n">
        <v>46120</v>
      </c>
    </row>
    <row r="36" ht="165" customHeight="1" s="42">
      <c r="B36" s="46" t="n"/>
      <c r="C36" s="46" t="inlineStr">
        <is>
          <t>IMG_7535.JPG</t>
        </is>
      </c>
      <c r="D36" s="47" t="n">
        <v>171608</v>
      </c>
      <c r="E36" s="48" t="inlineStr">
        <is>
          <t>马鞍山市·安徽天邦生物技术有限公司</t>
        </is>
      </c>
      <c r="F36" s="49" t="inlineStr">
        <is>
          <t>北纬 31°40', 东经 118°27'</t>
        </is>
      </c>
      <c r="G36" s="50" t="n">
        <v>46120</v>
      </c>
    </row>
    <row r="37" ht="165" customHeight="1" s="42">
      <c r="B37" s="46" t="n"/>
      <c r="C37" s="46" t="inlineStr">
        <is>
          <t>IMG_7542.JPG</t>
        </is>
      </c>
      <c r="D37" s="47" t="n">
        <v>171701</v>
      </c>
      <c r="E37" s="48" t="inlineStr">
        <is>
          <t>南京市·龙池翠洲</t>
        </is>
      </c>
      <c r="F37" s="49" t="inlineStr">
        <is>
          <t>北纬 32°19', 东经 118°49'</t>
        </is>
      </c>
      <c r="G37" s="50" t="n">
        <v>46121</v>
      </c>
    </row>
    <row r="38" ht="165" customHeight="1" s="42">
      <c r="B38" s="46" t="n"/>
      <c r="C38" s="46" t="inlineStr">
        <is>
          <t>IMG_7594.JPG</t>
        </is>
      </c>
      <c r="D38" s="47" t="n">
        <v>172237</v>
      </c>
      <c r="E38" s="48" t="inlineStr">
        <is>
          <t>南京市·龙池翠洲</t>
        </is>
      </c>
      <c r="F38" s="49" t="inlineStr">
        <is>
          <t>北纬 32°19', 东经 118°49'</t>
        </is>
      </c>
      <c r="G38" s="50" t="n">
        <v>46129</v>
      </c>
    </row>
    <row r="39" ht="165" customHeight="1" s="42">
      <c r="B39" s="46" t="n"/>
      <c r="C39" s="46" t="inlineStr">
        <is>
          <t>IMG_7595.JPG</t>
        </is>
      </c>
      <c r="D39" s="47" t="n">
        <v>172431</v>
      </c>
      <c r="E39" s="48" t="inlineStr">
        <is>
          <t>合肥市·联投v中心</t>
        </is>
      </c>
      <c r="F39" s="49" t="inlineStr">
        <is>
          <t>北纬 31°42', 东经 117°18'</t>
        </is>
      </c>
      <c r="G39" s="50" t="n">
        <v>46129</v>
      </c>
    </row>
    <row r="40" ht="165" customHeight="1" s="42">
      <c r="B40" s="46" t="n"/>
      <c r="C40" s="46" t="inlineStr">
        <is>
          <t>IMG_7596.JPG</t>
        </is>
      </c>
      <c r="D40" s="47" t="n">
        <v>172626</v>
      </c>
      <c r="E40" s="48" t="inlineStr">
        <is>
          <t>南京市·龙池翠洲</t>
        </is>
      </c>
      <c r="F40" s="49" t="inlineStr">
        <is>
          <t>北纬 32°19', 东经 118°49'</t>
        </is>
      </c>
      <c r="G40" s="50" t="n">
        <v>46129</v>
      </c>
    </row>
    <row r="41" ht="165" customHeight="1" s="42">
      <c r="B41" s="46" t="n"/>
      <c r="C41" s="46" t="inlineStr">
        <is>
          <t>IMG_7628.JPG</t>
        </is>
      </c>
      <c r="D41" s="47" t="n">
        <v>172973</v>
      </c>
      <c r="E41" s="48" t="inlineStr">
        <is>
          <t>南京市·龙池翠洲</t>
        </is>
      </c>
      <c r="F41" s="49" t="inlineStr">
        <is>
          <t>北纬 32°19', 东经 118°49'</t>
        </is>
      </c>
      <c r="G41" s="50" t="n">
        <v>46134</v>
      </c>
    </row>
    <row r="42" ht="165" customHeight="1" s="42">
      <c r="B42" s="46" t="n"/>
      <c r="C42" s="46" t="inlineStr">
        <is>
          <t>IMG_7629.JPG</t>
        </is>
      </c>
      <c r="D42" s="47" t="n">
        <v>173161</v>
      </c>
      <c r="E42" s="48" t="inlineStr">
        <is>
          <t>合肥市·联投v中心</t>
        </is>
      </c>
      <c r="F42" s="49" t="inlineStr">
        <is>
          <t>北纬 31°42', 东经 117°18'</t>
        </is>
      </c>
      <c r="G42" s="50" t="n">
        <v>46134</v>
      </c>
    </row>
    <row r="43" ht="165" customHeight="1" s="42">
      <c r="B43" s="46" t="n"/>
      <c r="C43" s="46" t="inlineStr">
        <is>
          <t>IMG_7630.JPG</t>
        </is>
      </c>
      <c r="D43" s="47" t="n">
        <v>173357</v>
      </c>
      <c r="E43" s="48" t="inlineStr">
        <is>
          <t>南京市·龙池翠洲</t>
        </is>
      </c>
      <c r="F43" s="49" t="inlineStr">
        <is>
          <t>北纬 32°19', 东经 118°49'</t>
        </is>
      </c>
      <c r="G43" s="50" t="n">
        <v>46135</v>
      </c>
    </row>
    <row r="44" ht="165" customHeight="1" s="42">
      <c r="B44" s="46" t="n"/>
      <c r="C44" s="46" t="inlineStr">
        <is>
          <t>IMG_7634.JPG</t>
        </is>
      </c>
      <c r="D44" s="47" t="n">
        <v>173546</v>
      </c>
      <c r="E44" s="48" t="inlineStr">
        <is>
          <t>合肥市·联投v中心</t>
        </is>
      </c>
      <c r="F44" s="49" t="inlineStr">
        <is>
          <t>北纬 31°42', 东经 117°18'</t>
        </is>
      </c>
      <c r="G44" s="50" t="n">
        <v>46135</v>
      </c>
    </row>
    <row r="45" ht="165" customHeight="1" s="42">
      <c r="B45" s="46" t="n"/>
      <c r="C45" s="46" t="inlineStr">
        <is>
          <t>IMG_7636.JPG</t>
        </is>
      </c>
      <c r="D45" s="47" t="n">
        <v>173738</v>
      </c>
      <c r="E45" s="48" t="inlineStr">
        <is>
          <t>南京市·璟湖广场</t>
        </is>
      </c>
      <c r="F45" s="49" t="inlineStr">
        <is>
          <t>北纬 32°19', 东经 118°49'</t>
        </is>
      </c>
      <c r="G45" s="50" t="n">
        <v>46136</v>
      </c>
    </row>
    <row r="46" ht="165" customHeight="1" s="42">
      <c r="B46" s="46" t="n"/>
      <c r="C46" s="46" t="inlineStr">
        <is>
          <t>IMG_7651.JPG</t>
        </is>
      </c>
      <c r="D46" s="47" t="n">
        <v>173900</v>
      </c>
      <c r="E46" s="48" t="inlineStr">
        <is>
          <t>南京市·江北新区景枫乐创中心B1栋</t>
        </is>
      </c>
      <c r="F46" s="49" t="inlineStr">
        <is>
          <t>北纬 32°02', 东经 118°38'</t>
        </is>
      </c>
      <c r="G46" s="50" t="n">
        <v>46139</v>
      </c>
    </row>
    <row r="47" ht="165" customHeight="1" s="42">
      <c r="B47" s="46" t="n"/>
      <c r="C47" s="46" t="inlineStr">
        <is>
          <t>IMG_7652.JPG</t>
        </is>
      </c>
      <c r="D47" s="47" t="n">
        <v>174053</v>
      </c>
      <c r="E47" s="48" t="inlineStr">
        <is>
          <t>合肥市·联投v中心</t>
        </is>
      </c>
      <c r="F47" s="49" t="inlineStr">
        <is>
          <t>北纬 31°42', 东经 117°18'</t>
        </is>
      </c>
      <c r="G47" s="50" t="n">
        <v>46139</v>
      </c>
    </row>
    <row r="48" ht="165" customHeight="1" s="42">
      <c r="B48" s="46" t="n"/>
      <c r="C48" s="46" t="inlineStr">
        <is>
          <t>IMG_7663.JPG</t>
        </is>
      </c>
      <c r="D48" s="47" t="n">
        <v>174258</v>
      </c>
      <c r="E48" s="48" t="inlineStr">
        <is>
          <t>南京市·龙池翠洲</t>
        </is>
      </c>
      <c r="F48" s="49" t="inlineStr">
        <is>
          <t>北纬 32°19', 东经 118°49'</t>
        </is>
      </c>
      <c r="G48" s="50" t="n">
        <v>46140</v>
      </c>
    </row>
  </sheetData>
  <mergeCells count="14">
    <mergeCell ref="C2:H2"/>
    <mergeCell ref="K3:K4"/>
    <mergeCell ref="L3:L4"/>
    <mergeCell ref="A3:A4"/>
    <mergeCell ref="A1:L1"/>
    <mergeCell ref="B3:B4"/>
    <mergeCell ref="H3:H4"/>
    <mergeCell ref="I3:I4"/>
    <mergeCell ref="J3:J4"/>
    <mergeCell ref="C22:D22"/>
    <mergeCell ref="I2:L2"/>
    <mergeCell ref="C3:D3"/>
    <mergeCell ref="E3:F3"/>
    <mergeCell ref="G25:I25"/>
  </mergeCells>
  <pageMargins left="0.7" right="0.7" top="0.75" bottom="0.75" header="0.3" footer="0.3"/>
  <pageSetup orientation="portrait" paperSize="9" scale="34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2026-05-28T16:45:25Z</dcterms:modified>
  <cp:lastModifiedBy>Leon Kwok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BD098019DFD748F78BBEA156494CA581_12</vt:lpwstr>
  </property>
  <property name="KSOProductBuildVer" fmtid="{D5CDD505-2E9C-101B-9397-08002B2CF9AE}" pid="3">
    <vt:lpwstr xmlns:vt="http://schemas.openxmlformats.org/officeDocument/2006/docPropsVTypes">2052-12.1.0.25865</vt:lpwstr>
  </property>
  <property name="KSOReadingLayout" fmtid="{D5CDD505-2E9C-101B-9397-08002B2CF9AE}" pid="4">
    <vt:bool xmlns:vt="http://schemas.openxmlformats.org/officeDocument/2006/docPropsVTypes">1</vt:bool>
  </property>
  <property name="CalculationRule" fmtid="{D5CDD505-2E9C-101B-9397-08002B2CF9AE}" pid="5">
    <vt:i4 xmlns:vt="http://schemas.openxmlformats.org/officeDocument/2006/docPropsVTypes">0</vt:i4>
  </property>
</Properties>
</file>